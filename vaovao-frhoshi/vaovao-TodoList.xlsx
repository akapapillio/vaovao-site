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8355" activeTab="4"/>
  </bookViews>
  <sheets>
    <sheet name="groupe" sheetId="1" r:id="rId1"/>
    <sheet name="liste des taches" sheetId="2" r:id="rId2"/>
    <sheet name="Recap" sheetId="3" r:id="rId3"/>
    <sheet name="detail_avancement" sheetId="4" r:id="rId4"/>
    <sheet name="avancement" sheetId="5" r:id="rId5"/>
  </sheets>
  <calcPr calcId="144525"/>
</workbook>
</file>

<file path=xl/sharedStrings.xml><?xml version="1.0" encoding="utf-8"?>
<sst xmlns="http://schemas.openxmlformats.org/spreadsheetml/2006/main" count="256" uniqueCount="95">
  <si>
    <t>ETU003244</t>
  </si>
  <si>
    <t>Kiady</t>
  </si>
  <si>
    <t>ETU002647</t>
  </si>
  <si>
    <t>Nalitiana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</si>
  <si>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</si>
  <si>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</si>
  <si>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</si>
  <si>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</si>
  <si>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</si>
  <si>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</si>
  <si>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</si>
  <si>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</si>
  <si>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</si>
  <si>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</si>
  <si>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</si>
  <si>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</si>
  <si>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Authentification Admin</t>
  </si>
  <si>
    <t>Login</t>
  </si>
  <si>
    <t>Page HTML login</t>
  </si>
  <si>
    <t>Affichage</t>
  </si>
  <si>
    <t>Styling CSS login</t>
  </si>
  <si>
    <t>Metier</t>
  </si>
  <si>
    <t>Fonction checkLogin</t>
  </si>
  <si>
    <t>Integration</t>
  </si>
  <si>
    <t>Logout</t>
  </si>
  <si>
    <t>Fonction logout</t>
  </si>
  <si>
    <t>Gestion Articles</t>
  </si>
  <si>
    <t>Article</t>
  </si>
  <si>
    <t>CRUD - Affichage liste</t>
  </si>
  <si>
    <t>CRUD - Page créer</t>
  </si>
  <si>
    <t>CRUD - Fonction créer</t>
  </si>
  <si>
    <t>CRUD - Page éditer</t>
  </si>
  <si>
    <t>CRUD - Fonction éditer</t>
  </si>
  <si>
    <t>CRUD - Fonction supprimer</t>
  </si>
  <si>
    <t>Gestion Keywords</t>
  </si>
  <si>
    <t>Gestion Images</t>
  </si>
  <si>
    <t>Gestion Utilisateurs</t>
  </si>
  <si>
    <t>Users</t>
  </si>
  <si>
    <t>Listing utilisateurs</t>
  </si>
  <si>
    <t>Ajouter utilisateur</t>
  </si>
  <si>
    <t>Éditer utilisateur</t>
  </si>
  <si>
    <t>Gestion Admin</t>
  </si>
  <si>
    <t>Admins</t>
  </si>
  <si>
    <t>Listing admins</t>
  </si>
  <si>
    <t>Créer admin</t>
  </si>
  <si>
    <t>Frontend</t>
  </si>
  <si>
    <t>Affichage Articles</t>
  </si>
  <si>
    <t>FO-Index</t>
  </si>
  <si>
    <t>Page accueil</t>
  </si>
  <si>
    <t>FO-Article</t>
  </si>
  <si>
    <t>Page détail article</t>
  </si>
  <si>
    <t>Afficher articles</t>
  </si>
  <si>
    <t>Authentification User</t>
  </si>
  <si>
    <t>FO-Login</t>
  </si>
  <si>
    <t>Page login</t>
  </si>
  <si>
    <t>Fonction checkUserAuth</t>
  </si>
  <si>
    <t>Infrastructure</t>
  </si>
  <si>
    <t>Docker</t>
  </si>
  <si>
    <t>Dockerfile Apache</t>
  </si>
  <si>
    <t>Dockerfile MySQL</t>
  </si>
  <si>
    <t>docker-compose.yml</t>
  </si>
  <si>
    <t>Scripts initialisation BD</t>
  </si>
  <si>
    <t>Base</t>
  </si>
  <si>
    <t>Base de Données</t>
  </si>
  <si>
    <t>Schéma BD</t>
  </si>
  <si>
    <t>MySQL</t>
  </si>
  <si>
    <t>Table articles</t>
  </si>
  <si>
    <t>Table users</t>
  </si>
  <si>
    <t>Table admins</t>
  </si>
  <si>
    <t>Relation keywords-articles</t>
  </si>
  <si>
    <t>Données</t>
  </si>
  <si>
    <t>Données test articles</t>
  </si>
  <si>
    <t>Données test users</t>
  </si>
  <si>
    <t>Tests</t>
  </si>
  <si>
    <t>Test Fonctionnel</t>
  </si>
  <si>
    <t>BO</t>
  </si>
  <si>
    <t>Test login admin</t>
  </si>
  <si>
    <t>Test CRUD articles</t>
  </si>
  <si>
    <t>FO</t>
  </si>
  <si>
    <t>Test affichage articles</t>
  </si>
  <si>
    <t>Test navigation</t>
  </si>
  <si>
    <t>Déploiement</t>
  </si>
  <si>
    <t>Test Docker build</t>
  </si>
  <si>
    <t>Test déploiement complet</t>
  </si>
  <si>
    <t>Résumé du Projet</t>
  </si>
  <si>
    <t>Total des tâches:</t>
  </si>
  <si>
    <t>Estimation totale (heures):</t>
  </si>
  <si>
    <t>Temps passé (heures):</t>
  </si>
  <si>
    <t>Total</t>
  </si>
  <si>
    <r>
      <t>estimation</t>
    </r>
    <r>
      <rPr>
        <b/>
        <sz val="12"/>
        <color theme="1"/>
        <rFont val="Aptos Narrow"/>
        <charset val="134"/>
      </rPr>
      <t xml:space="preserve"> </t>
    </r>
    <r>
      <rPr>
        <b/>
        <sz val="12"/>
        <color theme="1"/>
        <rFont val="Arial"/>
        <charset val="134"/>
      </rPr>
      <t>total</t>
    </r>
  </si>
  <si>
    <r>
      <t>temps</t>
    </r>
    <r>
      <rPr>
        <b/>
        <sz val="12"/>
        <color theme="1"/>
        <rFont val="Aptos Narrow"/>
        <charset val="134"/>
      </rPr>
      <t xml:space="preserve"> </t>
    </r>
    <r>
      <rPr>
        <b/>
        <sz val="12"/>
        <color theme="1"/>
        <rFont val="Arial"/>
        <charset val="134"/>
      </rPr>
      <t>passé</t>
    </r>
    <r>
      <rPr>
        <b/>
        <sz val="12"/>
        <color theme="1"/>
        <rFont val="Aptos Narrow"/>
        <charset val="134"/>
      </rPr>
      <t xml:space="preserve"> </t>
    </r>
    <r>
      <rPr>
        <b/>
        <sz val="12"/>
        <color theme="1"/>
        <rFont val="Arial"/>
        <charset val="134"/>
      </rPr>
      <t>total</t>
    </r>
  </si>
  <si>
    <r>
      <t>reste</t>
    </r>
    <r>
      <rPr>
        <b/>
        <sz val="12"/>
        <color theme="1"/>
        <rFont val="Aptos Narrow"/>
        <charset val="134"/>
      </rPr>
      <t xml:space="preserve"> </t>
    </r>
    <r>
      <rPr>
        <b/>
        <sz val="12"/>
        <color theme="1"/>
        <rFont val="Arial"/>
        <charset val="134"/>
      </rPr>
      <t>à</t>
    </r>
    <r>
      <rPr>
        <b/>
        <sz val="12"/>
        <color theme="1"/>
        <rFont val="Aptos Narrow"/>
        <charset val="134"/>
      </rPr>
      <t xml:space="preserve"> </t>
    </r>
    <r>
      <rPr>
        <b/>
        <sz val="12"/>
        <color theme="1"/>
        <rFont val="Arial"/>
        <charset val="134"/>
      </rPr>
      <t>faire</t>
    </r>
    <r>
      <rPr>
        <b/>
        <sz val="12"/>
        <color theme="1"/>
        <rFont val="Aptos Narrow"/>
        <charset val="134"/>
      </rPr>
      <t xml:space="preserve"> </t>
    </r>
    <r>
      <rPr>
        <b/>
        <sz val="12"/>
        <color theme="1"/>
        <rFont val="Arial"/>
        <charset val="134"/>
      </rPr>
      <t>total</t>
    </r>
  </si>
  <si>
    <t>avancement</t>
  </si>
  <si>
    <t>dépassement</t>
  </si>
  <si>
    <t>heure</t>
  </si>
</sst>
</file>

<file path=xl/styles.xml><?xml version="1.0" encoding="utf-8"?>
<styleSheet xmlns="http://schemas.openxmlformats.org/spreadsheetml/2006/main">
  <numFmts count="6">
    <numFmt numFmtId="176" formatCode="0.0"/>
    <numFmt numFmtId="177" formatCode="yyyy\-mm\-dd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ptos Narrow"/>
      <charset val="134"/>
    </font>
    <font>
      <b/>
      <sz val="11"/>
      <color rgb="FFFFFFFF"/>
      <name val="Calibri"/>
      <charset val="134"/>
      <scheme val="minor"/>
    </font>
    <font>
      <b/>
      <sz val="14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2"/>
      <color theme="1"/>
      <name val="Aptos Narrow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366092"/>
        <bgColor rgb="FF366092"/>
      </patternFill>
    </fill>
    <fill>
      <patternFill patternType="solid">
        <fgColor rgb="FFFFE599"/>
        <bgColor rgb="FFFFE59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3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4" fillId="14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26" borderId="6" applyNumberFormat="0" applyFont="0" applyAlignment="0" applyProtection="0">
      <alignment vertical="center"/>
    </xf>
    <xf numFmtId="0" fontId="18" fillId="16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9" borderId="1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Border="1" applyAlignment="1"/>
    <xf numFmtId="0" fontId="2" fillId="0" borderId="0" xfId="0" applyFont="1" applyFill="1" applyAlignment="1">
      <alignment horizontal="right"/>
    </xf>
    <xf numFmtId="10" fontId="2" fillId="0" borderId="0" xfId="0" applyNumberFormat="1" applyFont="1" applyFill="1" applyAlignment="1">
      <alignment horizontal="right"/>
    </xf>
    <xf numFmtId="0" fontId="2" fillId="0" borderId="0" xfId="0" applyFont="1" applyFill="1" applyAlignment="1"/>
    <xf numFmtId="9" fontId="2" fillId="0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center" vertical="center"/>
    </xf>
    <xf numFmtId="177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/>
    <xf numFmtId="0" fontId="5" fillId="4" borderId="0" xfId="0" applyFont="1" applyFill="1" applyAlignment="1"/>
    <xf numFmtId="10" fontId="5" fillId="4" borderId="0" xfId="0" applyNumberFormat="1" applyFont="1" applyFill="1" applyAlignment="1"/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25" outlineLevelRow="1" outlineLevelCol="1"/>
  <cols>
    <col min="1" max="1" width="12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opLeftCell="C10" workbookViewId="0">
      <selection activeCell="I6" sqref="I6"/>
    </sheetView>
  </sheetViews>
  <sheetFormatPr defaultColWidth="9" defaultRowHeight="14.25"/>
  <cols>
    <col min="1" max="1" width="8" customWidth="1"/>
    <col min="2" max="2" width="18" customWidth="1"/>
    <col min="3" max="3" width="22" customWidth="1"/>
    <col min="4" max="4" width="18" customWidth="1"/>
    <col min="5" max="5" width="28" customWidth="1"/>
    <col min="6" max="11" width="12" customWidth="1"/>
  </cols>
  <sheetData>
    <row r="1" spans="1:11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</row>
    <row r="2" spans="1:11">
      <c r="A2" s="8">
        <v>1</v>
      </c>
      <c r="B2" s="13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0</v>
      </c>
      <c r="H2" s="8">
        <v>8</v>
      </c>
      <c r="I2" s="8">
        <f>detail_avancement!B2</f>
        <v>8</v>
      </c>
      <c r="J2" s="8">
        <f t="shared" ref="J2:J39" si="0">H2-I2</f>
        <v>0</v>
      </c>
      <c r="K2" s="8">
        <f>(I2/(I2+J2))</f>
        <v>1</v>
      </c>
    </row>
    <row r="3" spans="1:11">
      <c r="A3" s="8">
        <v>2</v>
      </c>
      <c r="B3" s="13" t="s">
        <v>15</v>
      </c>
      <c r="C3" s="8" t="s">
        <v>16</v>
      </c>
      <c r="D3" s="8" t="s">
        <v>17</v>
      </c>
      <c r="E3" s="8" t="s">
        <v>20</v>
      </c>
      <c r="F3" s="8" t="s">
        <v>21</v>
      </c>
      <c r="G3" s="8" t="s">
        <v>2</v>
      </c>
      <c r="H3" s="8">
        <v>6</v>
      </c>
      <c r="I3" s="8">
        <f>detail_avancement!B3</f>
        <v>6</v>
      </c>
      <c r="J3" s="8">
        <f t="shared" si="0"/>
        <v>0</v>
      </c>
      <c r="K3" s="8">
        <f t="shared" ref="K3:K39" si="1">(I3/(I3+J3))</f>
        <v>1</v>
      </c>
    </row>
    <row r="4" spans="1:11">
      <c r="A4" s="8">
        <v>3</v>
      </c>
      <c r="B4" s="13" t="s">
        <v>15</v>
      </c>
      <c r="C4" s="8" t="s">
        <v>16</v>
      </c>
      <c r="D4" s="8" t="s">
        <v>17</v>
      </c>
      <c r="E4" s="8" t="s">
        <v>22</v>
      </c>
      <c r="F4" s="8" t="s">
        <v>23</v>
      </c>
      <c r="G4" s="8" t="s">
        <v>2</v>
      </c>
      <c r="H4" s="8">
        <v>8</v>
      </c>
      <c r="I4" s="8">
        <f>detail_avancement!B4</f>
        <v>8</v>
      </c>
      <c r="J4" s="8">
        <f t="shared" si="0"/>
        <v>0</v>
      </c>
      <c r="K4" s="8">
        <f t="shared" si="1"/>
        <v>1</v>
      </c>
    </row>
    <row r="5" spans="1:11">
      <c r="A5" s="8">
        <v>4</v>
      </c>
      <c r="B5" s="13" t="s">
        <v>15</v>
      </c>
      <c r="C5" s="8" t="s">
        <v>16</v>
      </c>
      <c r="D5" s="8" t="s">
        <v>24</v>
      </c>
      <c r="E5" s="8" t="s">
        <v>25</v>
      </c>
      <c r="F5" s="8" t="s">
        <v>23</v>
      </c>
      <c r="G5" s="8" t="s">
        <v>0</v>
      </c>
      <c r="H5" s="8">
        <v>4</v>
      </c>
      <c r="I5" s="8">
        <f>detail_avancement!B5</f>
        <v>4</v>
      </c>
      <c r="J5" s="8">
        <f t="shared" si="0"/>
        <v>0</v>
      </c>
      <c r="K5" s="8">
        <f t="shared" si="1"/>
        <v>1</v>
      </c>
    </row>
    <row r="6" spans="1:11">
      <c r="A6" s="8">
        <v>5</v>
      </c>
      <c r="B6" s="13" t="s">
        <v>15</v>
      </c>
      <c r="C6" s="8" t="s">
        <v>26</v>
      </c>
      <c r="D6" s="8" t="s">
        <v>27</v>
      </c>
      <c r="E6" s="8" t="s">
        <v>28</v>
      </c>
      <c r="F6" s="8" t="s">
        <v>19</v>
      </c>
      <c r="G6" s="8" t="s">
        <v>2</v>
      </c>
      <c r="H6" s="8">
        <v>10</v>
      </c>
      <c r="I6" s="8">
        <f>detail_avancement!B6</f>
        <v>10</v>
      </c>
      <c r="J6" s="8">
        <f t="shared" si="0"/>
        <v>0</v>
      </c>
      <c r="K6" s="8">
        <f t="shared" si="1"/>
        <v>1</v>
      </c>
    </row>
    <row r="7" spans="1:11">
      <c r="A7" s="8">
        <v>6</v>
      </c>
      <c r="B7" s="13" t="s">
        <v>15</v>
      </c>
      <c r="C7" s="8" t="s">
        <v>26</v>
      </c>
      <c r="D7" s="8" t="s">
        <v>27</v>
      </c>
      <c r="E7" s="8" t="s">
        <v>29</v>
      </c>
      <c r="F7" s="8" t="s">
        <v>19</v>
      </c>
      <c r="G7" s="8" t="s">
        <v>0</v>
      </c>
      <c r="H7" s="8">
        <v>8</v>
      </c>
      <c r="I7" s="8">
        <f>detail_avancement!B7</f>
        <v>8</v>
      </c>
      <c r="J7" s="8">
        <f t="shared" si="0"/>
        <v>0</v>
      </c>
      <c r="K7" s="8">
        <f t="shared" si="1"/>
        <v>1</v>
      </c>
    </row>
    <row r="8" spans="1:11">
      <c r="A8" s="8">
        <v>7</v>
      </c>
      <c r="B8" s="13" t="s">
        <v>15</v>
      </c>
      <c r="C8" s="8" t="s">
        <v>26</v>
      </c>
      <c r="D8" s="8" t="s">
        <v>27</v>
      </c>
      <c r="E8" s="8" t="s">
        <v>30</v>
      </c>
      <c r="F8" s="8" t="s">
        <v>23</v>
      </c>
      <c r="G8" s="8" t="s">
        <v>2</v>
      </c>
      <c r="H8" s="8">
        <v>10</v>
      </c>
      <c r="I8" s="8">
        <f>detail_avancement!B8</f>
        <v>10</v>
      </c>
      <c r="J8" s="8">
        <f t="shared" si="0"/>
        <v>0</v>
      </c>
      <c r="K8" s="8">
        <f t="shared" si="1"/>
        <v>1</v>
      </c>
    </row>
    <row r="9" spans="1:11">
      <c r="A9" s="8">
        <v>8</v>
      </c>
      <c r="B9" s="13" t="s">
        <v>15</v>
      </c>
      <c r="C9" s="8" t="s">
        <v>26</v>
      </c>
      <c r="D9" s="8" t="s">
        <v>27</v>
      </c>
      <c r="E9" s="8" t="s">
        <v>31</v>
      </c>
      <c r="F9" s="8" t="s">
        <v>19</v>
      </c>
      <c r="G9" s="8" t="s">
        <v>0</v>
      </c>
      <c r="H9" s="8">
        <v>8</v>
      </c>
      <c r="I9" s="8">
        <f>detail_avancement!B9</f>
        <v>8</v>
      </c>
      <c r="J9" s="8">
        <f t="shared" si="0"/>
        <v>0</v>
      </c>
      <c r="K9" s="8">
        <f t="shared" si="1"/>
        <v>1</v>
      </c>
    </row>
    <row r="10" spans="1:11">
      <c r="A10" s="8">
        <v>9</v>
      </c>
      <c r="B10" s="13" t="s">
        <v>15</v>
      </c>
      <c r="C10" s="8" t="s">
        <v>26</v>
      </c>
      <c r="D10" s="8" t="s">
        <v>27</v>
      </c>
      <c r="E10" s="8" t="s">
        <v>32</v>
      </c>
      <c r="F10" s="8" t="s">
        <v>23</v>
      </c>
      <c r="G10" s="8" t="s">
        <v>2</v>
      </c>
      <c r="H10" s="8">
        <v>10</v>
      </c>
      <c r="I10" s="8">
        <f>detail_avancement!B10</f>
        <v>10</v>
      </c>
      <c r="J10" s="8">
        <f t="shared" si="0"/>
        <v>0</v>
      </c>
      <c r="K10" s="8">
        <f t="shared" si="1"/>
        <v>1</v>
      </c>
    </row>
    <row r="11" spans="1:11">
      <c r="A11" s="8">
        <v>10</v>
      </c>
      <c r="B11" s="13" t="s">
        <v>15</v>
      </c>
      <c r="C11" s="8" t="s">
        <v>26</v>
      </c>
      <c r="D11" s="8" t="s">
        <v>27</v>
      </c>
      <c r="E11" s="8" t="s">
        <v>33</v>
      </c>
      <c r="F11" s="8" t="s">
        <v>23</v>
      </c>
      <c r="G11" s="8" t="s">
        <v>2</v>
      </c>
      <c r="H11" s="8">
        <v>5</v>
      </c>
      <c r="I11" s="8">
        <f>detail_avancement!B11</f>
        <v>6</v>
      </c>
      <c r="J11" s="8">
        <f t="shared" si="0"/>
        <v>-1</v>
      </c>
      <c r="K11" s="8">
        <f t="shared" si="1"/>
        <v>1.2</v>
      </c>
    </row>
    <row r="12" spans="1:11">
      <c r="A12" s="8">
        <v>11</v>
      </c>
      <c r="B12" s="13" t="s">
        <v>15</v>
      </c>
      <c r="C12" s="8" t="s">
        <v>26</v>
      </c>
      <c r="D12" s="8" t="s">
        <v>27</v>
      </c>
      <c r="E12" s="8" t="s">
        <v>34</v>
      </c>
      <c r="F12" s="8" t="s">
        <v>21</v>
      </c>
      <c r="G12" s="8" t="s">
        <v>0</v>
      </c>
      <c r="H12" s="8">
        <v>12</v>
      </c>
      <c r="I12" s="8">
        <f>detail_avancement!B12</f>
        <v>15</v>
      </c>
      <c r="J12" s="8">
        <f t="shared" si="0"/>
        <v>-3</v>
      </c>
      <c r="K12" s="8">
        <f t="shared" si="1"/>
        <v>1.25</v>
      </c>
    </row>
    <row r="13" spans="1:11">
      <c r="A13" s="8">
        <v>12</v>
      </c>
      <c r="B13" s="13" t="s">
        <v>15</v>
      </c>
      <c r="C13" s="8" t="s">
        <v>26</v>
      </c>
      <c r="D13" s="8" t="s">
        <v>27</v>
      </c>
      <c r="E13" s="8" t="s">
        <v>35</v>
      </c>
      <c r="F13" s="8" t="s">
        <v>23</v>
      </c>
      <c r="G13" s="8" t="s">
        <v>2</v>
      </c>
      <c r="H13" s="8">
        <v>15</v>
      </c>
      <c r="I13" s="8">
        <f>detail_avancement!B13</f>
        <v>8</v>
      </c>
      <c r="J13" s="8">
        <f t="shared" si="0"/>
        <v>7</v>
      </c>
      <c r="K13" s="8">
        <f t="shared" si="1"/>
        <v>0.533333333333333</v>
      </c>
    </row>
    <row r="14" spans="1:11">
      <c r="A14" s="8">
        <v>13</v>
      </c>
      <c r="B14" s="13" t="s">
        <v>15</v>
      </c>
      <c r="C14" s="8" t="s">
        <v>36</v>
      </c>
      <c r="D14" s="8" t="s">
        <v>37</v>
      </c>
      <c r="E14" s="8" t="s">
        <v>38</v>
      </c>
      <c r="F14" s="8" t="s">
        <v>19</v>
      </c>
      <c r="G14" s="8" t="s">
        <v>0</v>
      </c>
      <c r="H14" s="8">
        <v>8</v>
      </c>
      <c r="I14" s="8">
        <f>detail_avancement!B14</f>
        <v>8</v>
      </c>
      <c r="J14" s="8">
        <f t="shared" si="0"/>
        <v>0</v>
      </c>
      <c r="K14" s="8">
        <f t="shared" si="1"/>
        <v>1</v>
      </c>
    </row>
    <row r="15" spans="1:11">
      <c r="A15" s="8">
        <v>14</v>
      </c>
      <c r="B15" s="13" t="s">
        <v>15</v>
      </c>
      <c r="C15" s="8" t="s">
        <v>36</v>
      </c>
      <c r="D15" s="8" t="s">
        <v>37</v>
      </c>
      <c r="E15" s="8" t="s">
        <v>39</v>
      </c>
      <c r="F15" s="8" t="s">
        <v>23</v>
      </c>
      <c r="G15" s="8" t="s">
        <v>2</v>
      </c>
      <c r="H15" s="8">
        <v>8</v>
      </c>
      <c r="I15" s="8">
        <f>detail_avancement!B15</f>
        <v>8</v>
      </c>
      <c r="J15" s="8">
        <f t="shared" si="0"/>
        <v>0</v>
      </c>
      <c r="K15" s="8">
        <f t="shared" si="1"/>
        <v>1</v>
      </c>
    </row>
    <row r="16" spans="1:11">
      <c r="A16" s="8">
        <v>15</v>
      </c>
      <c r="B16" s="13" t="s">
        <v>15</v>
      </c>
      <c r="C16" s="8" t="s">
        <v>36</v>
      </c>
      <c r="D16" s="8" t="s">
        <v>37</v>
      </c>
      <c r="E16" s="8" t="s">
        <v>40</v>
      </c>
      <c r="F16" s="8" t="s">
        <v>23</v>
      </c>
      <c r="G16" s="8" t="s">
        <v>2</v>
      </c>
      <c r="H16" s="8">
        <v>8</v>
      </c>
      <c r="I16" s="8">
        <f>detail_avancement!B16</f>
        <v>6</v>
      </c>
      <c r="J16" s="8">
        <f t="shared" si="0"/>
        <v>2</v>
      </c>
      <c r="K16" s="8">
        <f t="shared" si="1"/>
        <v>0.75</v>
      </c>
    </row>
    <row r="17" spans="1:11">
      <c r="A17" s="8">
        <v>16</v>
      </c>
      <c r="B17" s="13" t="s">
        <v>15</v>
      </c>
      <c r="C17" s="8" t="s">
        <v>41</v>
      </c>
      <c r="D17" s="8" t="s">
        <v>42</v>
      </c>
      <c r="E17" s="8" t="s">
        <v>43</v>
      </c>
      <c r="F17" s="8" t="s">
        <v>19</v>
      </c>
      <c r="G17" s="8" t="s">
        <v>0</v>
      </c>
      <c r="H17" s="8">
        <v>6</v>
      </c>
      <c r="I17" s="8">
        <f>detail_avancement!B17</f>
        <v>8</v>
      </c>
      <c r="J17" s="8">
        <f t="shared" si="0"/>
        <v>-2</v>
      </c>
      <c r="K17" s="8">
        <f t="shared" si="1"/>
        <v>1.33333333333333</v>
      </c>
    </row>
    <row r="18" spans="1:11">
      <c r="A18" s="8">
        <v>17</v>
      </c>
      <c r="B18" s="13" t="s">
        <v>15</v>
      </c>
      <c r="C18" s="8" t="s">
        <v>41</v>
      </c>
      <c r="D18" s="8" t="s">
        <v>42</v>
      </c>
      <c r="E18" s="8" t="s">
        <v>44</v>
      </c>
      <c r="F18" s="8" t="s">
        <v>23</v>
      </c>
      <c r="G18" s="8" t="s">
        <v>2</v>
      </c>
      <c r="H18" s="8">
        <v>8</v>
      </c>
      <c r="I18" s="8">
        <f>detail_avancement!B18</f>
        <v>8</v>
      </c>
      <c r="J18" s="8">
        <f t="shared" si="0"/>
        <v>0</v>
      </c>
      <c r="K18" s="8">
        <f t="shared" si="1"/>
        <v>1</v>
      </c>
    </row>
    <row r="19" spans="1:11">
      <c r="A19" s="8">
        <v>18</v>
      </c>
      <c r="B19" s="14" t="s">
        <v>45</v>
      </c>
      <c r="C19" s="8" t="s">
        <v>46</v>
      </c>
      <c r="D19" s="8" t="s">
        <v>47</v>
      </c>
      <c r="E19" s="8" t="s">
        <v>48</v>
      </c>
      <c r="F19" s="8" t="s">
        <v>19</v>
      </c>
      <c r="G19" s="8" t="s">
        <v>0</v>
      </c>
      <c r="H19" s="8">
        <v>10</v>
      </c>
      <c r="I19" s="8">
        <f>detail_avancement!B19</f>
        <v>8</v>
      </c>
      <c r="J19" s="8">
        <f t="shared" si="0"/>
        <v>2</v>
      </c>
      <c r="K19" s="8">
        <f t="shared" si="1"/>
        <v>0.8</v>
      </c>
    </row>
    <row r="20" spans="1:11">
      <c r="A20" s="8">
        <v>19</v>
      </c>
      <c r="B20" s="14" t="s">
        <v>45</v>
      </c>
      <c r="C20" s="8" t="s">
        <v>46</v>
      </c>
      <c r="D20" s="8" t="s">
        <v>49</v>
      </c>
      <c r="E20" s="8" t="s">
        <v>50</v>
      </c>
      <c r="F20" s="8" t="s">
        <v>19</v>
      </c>
      <c r="G20" s="8" t="s">
        <v>2</v>
      </c>
      <c r="H20" s="8">
        <v>8</v>
      </c>
      <c r="I20" s="8">
        <f>detail_avancement!B20</f>
        <v>10</v>
      </c>
      <c r="J20" s="8">
        <f t="shared" si="0"/>
        <v>-2</v>
      </c>
      <c r="K20" s="8">
        <f t="shared" si="1"/>
        <v>1.25</v>
      </c>
    </row>
    <row r="21" spans="1:11">
      <c r="A21" s="8">
        <v>20</v>
      </c>
      <c r="B21" s="14" t="s">
        <v>45</v>
      </c>
      <c r="C21" s="8" t="s">
        <v>46</v>
      </c>
      <c r="D21" s="8" t="s">
        <v>49</v>
      </c>
      <c r="E21" s="8" t="s">
        <v>51</v>
      </c>
      <c r="F21" s="8" t="s">
        <v>23</v>
      </c>
      <c r="G21" s="8" t="s">
        <v>0</v>
      </c>
      <c r="H21" s="8">
        <v>10</v>
      </c>
      <c r="I21" s="8">
        <f>detail_avancement!B21</f>
        <v>8</v>
      </c>
      <c r="J21" s="8">
        <f t="shared" si="0"/>
        <v>2</v>
      </c>
      <c r="K21" s="8">
        <f t="shared" si="1"/>
        <v>0.8</v>
      </c>
    </row>
    <row r="22" spans="1:11">
      <c r="A22" s="8">
        <v>21</v>
      </c>
      <c r="B22" s="14" t="s">
        <v>45</v>
      </c>
      <c r="C22" s="8" t="s">
        <v>52</v>
      </c>
      <c r="D22" s="8" t="s">
        <v>53</v>
      </c>
      <c r="E22" s="8" t="s">
        <v>54</v>
      </c>
      <c r="F22" s="8" t="s">
        <v>19</v>
      </c>
      <c r="G22" s="8" t="s">
        <v>2</v>
      </c>
      <c r="H22" s="8">
        <v>8</v>
      </c>
      <c r="I22" s="8">
        <f>detail_avancement!B22</f>
        <v>8</v>
      </c>
      <c r="J22" s="8">
        <f t="shared" si="0"/>
        <v>0</v>
      </c>
      <c r="K22" s="8">
        <f t="shared" si="1"/>
        <v>1</v>
      </c>
    </row>
    <row r="23" spans="1:11">
      <c r="A23" s="8">
        <v>22</v>
      </c>
      <c r="B23" s="14" t="s">
        <v>45</v>
      </c>
      <c r="C23" s="8" t="s">
        <v>52</v>
      </c>
      <c r="D23" s="8" t="s">
        <v>53</v>
      </c>
      <c r="E23" s="8" t="s">
        <v>55</v>
      </c>
      <c r="F23" s="8" t="s">
        <v>23</v>
      </c>
      <c r="G23" s="8" t="s">
        <v>0</v>
      </c>
      <c r="H23" s="8">
        <v>8</v>
      </c>
      <c r="I23" s="8">
        <f>detail_avancement!B23</f>
        <v>6</v>
      </c>
      <c r="J23" s="8">
        <f t="shared" si="0"/>
        <v>2</v>
      </c>
      <c r="K23" s="8">
        <f t="shared" si="1"/>
        <v>0.75</v>
      </c>
    </row>
    <row r="24" spans="1:11">
      <c r="A24" s="8">
        <v>23</v>
      </c>
      <c r="B24" s="15" t="s">
        <v>56</v>
      </c>
      <c r="C24" s="8" t="s">
        <v>57</v>
      </c>
      <c r="D24" s="8" t="s">
        <v>57</v>
      </c>
      <c r="E24" s="8" t="s">
        <v>58</v>
      </c>
      <c r="F24" s="8" t="s">
        <v>21</v>
      </c>
      <c r="G24" s="8" t="s">
        <v>2</v>
      </c>
      <c r="H24" s="8">
        <v>6</v>
      </c>
      <c r="I24" s="8">
        <f>detail_avancement!B24</f>
        <v>6</v>
      </c>
      <c r="J24" s="8">
        <f t="shared" si="0"/>
        <v>0</v>
      </c>
      <c r="K24" s="8">
        <f t="shared" si="1"/>
        <v>1</v>
      </c>
    </row>
    <row r="25" spans="1:11">
      <c r="A25" s="8">
        <v>24</v>
      </c>
      <c r="B25" s="15" t="s">
        <v>56</v>
      </c>
      <c r="C25" s="8" t="s">
        <v>57</v>
      </c>
      <c r="D25" s="8" t="s">
        <v>57</v>
      </c>
      <c r="E25" s="8" t="s">
        <v>59</v>
      </c>
      <c r="F25" s="8" t="s">
        <v>21</v>
      </c>
      <c r="G25" s="8" t="s">
        <v>0</v>
      </c>
      <c r="H25" s="8">
        <v>6</v>
      </c>
      <c r="I25" s="8">
        <f>detail_avancement!B25</f>
        <v>8</v>
      </c>
      <c r="J25" s="8">
        <f t="shared" si="0"/>
        <v>-2</v>
      </c>
      <c r="K25" s="8">
        <f t="shared" si="1"/>
        <v>1.33333333333333</v>
      </c>
    </row>
    <row r="26" spans="1:11">
      <c r="A26" s="8">
        <v>25</v>
      </c>
      <c r="B26" s="15" t="s">
        <v>56</v>
      </c>
      <c r="C26" s="8" t="s">
        <v>57</v>
      </c>
      <c r="D26" s="8" t="s">
        <v>57</v>
      </c>
      <c r="E26" s="8" t="s">
        <v>60</v>
      </c>
      <c r="F26" s="8" t="s">
        <v>21</v>
      </c>
      <c r="G26" s="8" t="s">
        <v>2</v>
      </c>
      <c r="H26" s="8">
        <v>8</v>
      </c>
      <c r="I26" s="8">
        <f>detail_avancement!B26</f>
        <v>10</v>
      </c>
      <c r="J26" s="8">
        <f t="shared" si="0"/>
        <v>-2</v>
      </c>
      <c r="K26" s="8">
        <f t="shared" si="1"/>
        <v>1.25</v>
      </c>
    </row>
    <row r="27" spans="1:11">
      <c r="A27" s="8">
        <v>26</v>
      </c>
      <c r="B27" s="15" t="s">
        <v>56</v>
      </c>
      <c r="C27" s="8" t="s">
        <v>57</v>
      </c>
      <c r="D27" s="8" t="s">
        <v>57</v>
      </c>
      <c r="E27" s="8" t="s">
        <v>61</v>
      </c>
      <c r="F27" s="8" t="s">
        <v>62</v>
      </c>
      <c r="G27" s="8" t="s">
        <v>0</v>
      </c>
      <c r="H27" s="8">
        <v>10</v>
      </c>
      <c r="I27" s="8">
        <f>detail_avancement!B27</f>
        <v>6</v>
      </c>
      <c r="J27" s="8">
        <f t="shared" si="0"/>
        <v>4</v>
      </c>
      <c r="K27" s="8">
        <f t="shared" si="1"/>
        <v>0.6</v>
      </c>
    </row>
    <row r="28" spans="1:11">
      <c r="A28" s="8">
        <v>27</v>
      </c>
      <c r="B28" s="13" t="s">
        <v>63</v>
      </c>
      <c r="C28" s="8" t="s">
        <v>64</v>
      </c>
      <c r="D28" s="8" t="s">
        <v>65</v>
      </c>
      <c r="E28" s="8" t="s">
        <v>66</v>
      </c>
      <c r="F28" s="8" t="s">
        <v>62</v>
      </c>
      <c r="G28" s="8" t="s">
        <v>2</v>
      </c>
      <c r="H28" s="8">
        <v>6</v>
      </c>
      <c r="I28" s="8">
        <f>detail_avancement!B28</f>
        <v>7</v>
      </c>
      <c r="J28" s="8">
        <f t="shared" si="0"/>
        <v>-1</v>
      </c>
      <c r="K28" s="8">
        <f t="shared" si="1"/>
        <v>1.16666666666667</v>
      </c>
    </row>
    <row r="29" spans="1:11">
      <c r="A29" s="8">
        <v>28</v>
      </c>
      <c r="B29" s="13" t="s">
        <v>63</v>
      </c>
      <c r="C29" s="8" t="s">
        <v>64</v>
      </c>
      <c r="D29" s="8" t="s">
        <v>65</v>
      </c>
      <c r="E29" s="8" t="s">
        <v>67</v>
      </c>
      <c r="F29" s="8" t="s">
        <v>62</v>
      </c>
      <c r="G29" s="8" t="s">
        <v>2</v>
      </c>
      <c r="H29" s="8">
        <v>6</v>
      </c>
      <c r="I29" s="8">
        <f>detail_avancement!B29</f>
        <v>8</v>
      </c>
      <c r="J29" s="8">
        <f t="shared" si="0"/>
        <v>-2</v>
      </c>
      <c r="K29" s="8">
        <f t="shared" si="1"/>
        <v>1.33333333333333</v>
      </c>
    </row>
    <row r="30" spans="1:11">
      <c r="A30" s="8">
        <v>29</v>
      </c>
      <c r="B30" s="13" t="s">
        <v>63</v>
      </c>
      <c r="C30" s="8" t="s">
        <v>64</v>
      </c>
      <c r="D30" s="8" t="s">
        <v>65</v>
      </c>
      <c r="E30" s="8" t="s">
        <v>68</v>
      </c>
      <c r="F30" s="8" t="s">
        <v>62</v>
      </c>
      <c r="G30" s="8" t="s">
        <v>0</v>
      </c>
      <c r="H30" s="8">
        <v>6</v>
      </c>
      <c r="I30" s="8">
        <f>detail_avancement!B30</f>
        <v>6</v>
      </c>
      <c r="J30" s="8">
        <f t="shared" si="0"/>
        <v>0</v>
      </c>
      <c r="K30" s="8">
        <f t="shared" si="1"/>
        <v>1</v>
      </c>
    </row>
    <row r="31" spans="1:11">
      <c r="A31" s="8">
        <v>30</v>
      </c>
      <c r="B31" s="13" t="s">
        <v>63</v>
      </c>
      <c r="C31" s="8" t="s">
        <v>64</v>
      </c>
      <c r="D31" s="8" t="s">
        <v>65</v>
      </c>
      <c r="E31" s="8" t="s">
        <v>69</v>
      </c>
      <c r="F31" s="8" t="s">
        <v>62</v>
      </c>
      <c r="G31" s="8" t="s">
        <v>0</v>
      </c>
      <c r="H31" s="8">
        <v>6</v>
      </c>
      <c r="I31" s="8">
        <f>detail_avancement!B31</f>
        <v>6</v>
      </c>
      <c r="J31" s="8">
        <f t="shared" si="0"/>
        <v>0</v>
      </c>
      <c r="K31" s="8">
        <f t="shared" si="1"/>
        <v>1</v>
      </c>
    </row>
    <row r="32" spans="1:11">
      <c r="A32" s="8">
        <v>31</v>
      </c>
      <c r="B32" s="13" t="s">
        <v>63</v>
      </c>
      <c r="C32" s="8" t="s">
        <v>70</v>
      </c>
      <c r="D32" s="8" t="s">
        <v>65</v>
      </c>
      <c r="E32" s="8" t="s">
        <v>71</v>
      </c>
      <c r="F32" s="8" t="s">
        <v>62</v>
      </c>
      <c r="G32" s="8" t="s">
        <v>2</v>
      </c>
      <c r="H32" s="8">
        <v>8</v>
      </c>
      <c r="I32" s="8">
        <f>detail_avancement!B32</f>
        <v>8</v>
      </c>
      <c r="J32" s="8">
        <f t="shared" si="0"/>
        <v>0</v>
      </c>
      <c r="K32" s="8">
        <f t="shared" si="1"/>
        <v>1</v>
      </c>
    </row>
    <row r="33" spans="1:11">
      <c r="A33" s="8">
        <v>32</v>
      </c>
      <c r="B33" s="13" t="s">
        <v>63</v>
      </c>
      <c r="C33" s="8" t="s">
        <v>70</v>
      </c>
      <c r="D33" s="8" t="s">
        <v>65</v>
      </c>
      <c r="E33" s="8" t="s">
        <v>72</v>
      </c>
      <c r="F33" s="8" t="s">
        <v>62</v>
      </c>
      <c r="G33" s="8" t="s">
        <v>0</v>
      </c>
      <c r="H33" s="8">
        <v>6</v>
      </c>
      <c r="I33" s="8">
        <f>detail_avancement!B33</f>
        <v>6</v>
      </c>
      <c r="J33" s="8">
        <f t="shared" si="0"/>
        <v>0</v>
      </c>
      <c r="K33" s="8">
        <f t="shared" si="1"/>
        <v>1</v>
      </c>
    </row>
    <row r="34" spans="1:11">
      <c r="A34" s="8">
        <v>33</v>
      </c>
      <c r="B34" s="16" t="s">
        <v>73</v>
      </c>
      <c r="C34" s="8" t="s">
        <v>74</v>
      </c>
      <c r="D34" s="8" t="s">
        <v>75</v>
      </c>
      <c r="E34" s="8" t="s">
        <v>76</v>
      </c>
      <c r="F34" s="8" t="s">
        <v>21</v>
      </c>
      <c r="G34" s="8" t="s">
        <v>2</v>
      </c>
      <c r="H34" s="8">
        <v>4</v>
      </c>
      <c r="I34" s="8">
        <f>detail_avancement!B34</f>
        <v>4</v>
      </c>
      <c r="J34" s="8">
        <f t="shared" si="0"/>
        <v>0</v>
      </c>
      <c r="K34" s="8">
        <f t="shared" si="1"/>
        <v>1</v>
      </c>
    </row>
    <row r="35" spans="1:11">
      <c r="A35" s="8">
        <v>34</v>
      </c>
      <c r="B35" s="16" t="s">
        <v>73</v>
      </c>
      <c r="C35" s="8" t="s">
        <v>74</v>
      </c>
      <c r="D35" s="8" t="s">
        <v>75</v>
      </c>
      <c r="E35" s="8" t="s">
        <v>77</v>
      </c>
      <c r="F35" s="8" t="s">
        <v>21</v>
      </c>
      <c r="G35" s="8" t="s">
        <v>0</v>
      </c>
      <c r="H35" s="8">
        <v>6</v>
      </c>
      <c r="I35" s="8">
        <f>detail_avancement!B35</f>
        <v>6</v>
      </c>
      <c r="J35" s="8">
        <f t="shared" si="0"/>
        <v>0</v>
      </c>
      <c r="K35" s="8">
        <f t="shared" si="1"/>
        <v>1</v>
      </c>
    </row>
    <row r="36" spans="1:11">
      <c r="A36" s="8">
        <v>35</v>
      </c>
      <c r="B36" s="16" t="s">
        <v>73</v>
      </c>
      <c r="C36" s="8" t="s">
        <v>74</v>
      </c>
      <c r="D36" s="8" t="s">
        <v>78</v>
      </c>
      <c r="E36" s="8" t="s">
        <v>79</v>
      </c>
      <c r="F36" s="8" t="s">
        <v>21</v>
      </c>
      <c r="G36" s="8" t="s">
        <v>2</v>
      </c>
      <c r="H36" s="8">
        <v>4</v>
      </c>
      <c r="I36" s="8">
        <f>detail_avancement!B36</f>
        <v>4</v>
      </c>
      <c r="J36" s="8">
        <f t="shared" si="0"/>
        <v>0</v>
      </c>
      <c r="K36" s="8">
        <f t="shared" si="1"/>
        <v>1</v>
      </c>
    </row>
    <row r="37" spans="1:11">
      <c r="A37" s="8">
        <v>36</v>
      </c>
      <c r="B37" s="16" t="s">
        <v>73</v>
      </c>
      <c r="C37" s="8" t="s">
        <v>74</v>
      </c>
      <c r="D37" s="8" t="s">
        <v>78</v>
      </c>
      <c r="E37" s="8" t="s">
        <v>80</v>
      </c>
      <c r="F37" s="8" t="s">
        <v>21</v>
      </c>
      <c r="G37" s="8" t="s">
        <v>0</v>
      </c>
      <c r="H37" s="8">
        <v>3</v>
      </c>
      <c r="I37" s="8">
        <f>detail_avancement!B37</f>
        <v>3</v>
      </c>
      <c r="J37" s="8">
        <f t="shared" si="0"/>
        <v>0</v>
      </c>
      <c r="K37" s="8">
        <f t="shared" si="1"/>
        <v>1</v>
      </c>
    </row>
    <row r="38" spans="1:11">
      <c r="A38" s="8">
        <v>37</v>
      </c>
      <c r="B38" s="16" t="s">
        <v>73</v>
      </c>
      <c r="C38" s="8" t="s">
        <v>81</v>
      </c>
      <c r="D38" s="8" t="s">
        <v>57</v>
      </c>
      <c r="E38" s="8" t="s">
        <v>82</v>
      </c>
      <c r="F38" s="8" t="s">
        <v>21</v>
      </c>
      <c r="G38" s="8" t="s">
        <v>2</v>
      </c>
      <c r="H38" s="8">
        <v>4</v>
      </c>
      <c r="I38" s="8">
        <f>detail_avancement!B38</f>
        <v>4</v>
      </c>
      <c r="J38" s="8">
        <f t="shared" si="0"/>
        <v>0</v>
      </c>
      <c r="K38" s="8">
        <f t="shared" si="1"/>
        <v>1</v>
      </c>
    </row>
    <row r="39" spans="1:11">
      <c r="A39" s="8">
        <v>38</v>
      </c>
      <c r="B39" s="16" t="s">
        <v>73</v>
      </c>
      <c r="C39" s="8" t="s">
        <v>81</v>
      </c>
      <c r="D39" s="8" t="s">
        <v>57</v>
      </c>
      <c r="E39" s="8" t="s">
        <v>83</v>
      </c>
      <c r="F39" s="8" t="s">
        <v>21</v>
      </c>
      <c r="G39" s="8" t="s">
        <v>0</v>
      </c>
      <c r="H39" s="8">
        <v>6</v>
      </c>
      <c r="I39" s="8">
        <f>detail_avancement!B39</f>
        <v>8</v>
      </c>
      <c r="J39" s="8">
        <f t="shared" si="0"/>
        <v>-2</v>
      </c>
      <c r="K39" s="8">
        <f t="shared" si="1"/>
        <v>1.33333333333333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8" sqref="B8"/>
    </sheetView>
  </sheetViews>
  <sheetFormatPr defaultColWidth="9" defaultRowHeight="14.25" outlineLevelRow="6" outlineLevelCol="1"/>
  <cols>
    <col min="1" max="1" width="24.125" customWidth="1"/>
  </cols>
  <sheetData>
    <row r="1" ht="18" spans="1:1">
      <c r="A1" s="10" t="s">
        <v>84</v>
      </c>
    </row>
    <row r="3" spans="1:2">
      <c r="A3" t="s">
        <v>85</v>
      </c>
      <c r="B3">
        <v>38</v>
      </c>
    </row>
    <row r="4" spans="1:2">
      <c r="A4" t="s">
        <v>86</v>
      </c>
      <c r="B4">
        <f>SUM('liste des taches'!H2:H39)</f>
        <v>281</v>
      </c>
    </row>
    <row r="5" spans="1:2">
      <c r="A5" t="s">
        <v>87</v>
      </c>
      <c r="B5">
        <f>SUM('liste des taches'!I2:I39)</f>
        <v>279</v>
      </c>
    </row>
    <row r="7" spans="1:2">
      <c r="A7" s="11" t="s">
        <v>14</v>
      </c>
      <c r="B7" s="12">
        <f>avancement!D2</f>
        <v>0.99288256227758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D39" sqref="D39"/>
    </sheetView>
  </sheetViews>
  <sheetFormatPr defaultColWidth="9" defaultRowHeight="14.25" outlineLevelCol="3"/>
  <cols>
    <col min="1" max="1" width="8" customWidth="1"/>
    <col min="2" max="2" width="12" customWidth="1"/>
    <col min="3" max="4" width="15" customWidth="1"/>
  </cols>
  <sheetData>
    <row r="1" spans="1:4">
      <c r="A1" s="6" t="s">
        <v>4</v>
      </c>
      <c r="B1" s="6" t="s">
        <v>88</v>
      </c>
      <c r="C1" s="7">
        <v>46111</v>
      </c>
      <c r="D1" s="7">
        <v>46112</v>
      </c>
    </row>
    <row r="2" spans="1:4">
      <c r="A2" s="8">
        <v>1</v>
      </c>
      <c r="B2" s="8">
        <f t="shared" ref="B2:B39" si="0">SUM(C2:D2)</f>
        <v>8</v>
      </c>
      <c r="C2" s="9">
        <v>8</v>
      </c>
      <c r="D2" s="9"/>
    </row>
    <row r="3" spans="1:4">
      <c r="A3" s="8">
        <v>2</v>
      </c>
      <c r="B3" s="8">
        <f t="shared" si="0"/>
        <v>6</v>
      </c>
      <c r="C3" s="9"/>
      <c r="D3" s="9">
        <v>6</v>
      </c>
    </row>
    <row r="4" spans="1:4">
      <c r="A4" s="8">
        <v>3</v>
      </c>
      <c r="B4" s="8">
        <f t="shared" si="0"/>
        <v>8</v>
      </c>
      <c r="C4" s="9"/>
      <c r="D4" s="9">
        <v>8</v>
      </c>
    </row>
    <row r="5" spans="1:4">
      <c r="A5" s="8">
        <v>4</v>
      </c>
      <c r="B5" s="8">
        <f t="shared" si="0"/>
        <v>4</v>
      </c>
      <c r="C5" s="9">
        <v>4</v>
      </c>
      <c r="D5" s="9"/>
    </row>
    <row r="6" spans="1:4">
      <c r="A6" s="8">
        <v>5</v>
      </c>
      <c r="B6" s="8">
        <f t="shared" si="0"/>
        <v>10</v>
      </c>
      <c r="C6" s="9">
        <v>8</v>
      </c>
      <c r="D6" s="9">
        <v>2</v>
      </c>
    </row>
    <row r="7" spans="1:4">
      <c r="A7" s="8">
        <v>6</v>
      </c>
      <c r="B7" s="8">
        <f t="shared" si="0"/>
        <v>8</v>
      </c>
      <c r="C7" s="9">
        <v>8</v>
      </c>
      <c r="D7" s="9"/>
    </row>
    <row r="8" spans="1:4">
      <c r="A8" s="8">
        <v>7</v>
      </c>
      <c r="B8" s="8">
        <f t="shared" si="0"/>
        <v>10</v>
      </c>
      <c r="C8" s="9">
        <v>10</v>
      </c>
      <c r="D8" s="9"/>
    </row>
    <row r="9" spans="1:4">
      <c r="A9" s="8">
        <v>8</v>
      </c>
      <c r="B9" s="8">
        <f t="shared" si="0"/>
        <v>8</v>
      </c>
      <c r="C9" s="9">
        <v>5</v>
      </c>
      <c r="D9" s="9">
        <v>3</v>
      </c>
    </row>
    <row r="10" spans="1:4">
      <c r="A10" s="8">
        <v>9</v>
      </c>
      <c r="B10" s="8">
        <f t="shared" si="0"/>
        <v>10</v>
      </c>
      <c r="C10" s="9">
        <v>5</v>
      </c>
      <c r="D10" s="9">
        <v>5</v>
      </c>
    </row>
    <row r="11" spans="1:4">
      <c r="A11" s="8">
        <v>10</v>
      </c>
      <c r="B11" s="8">
        <f t="shared" si="0"/>
        <v>6</v>
      </c>
      <c r="C11" s="9">
        <v>6</v>
      </c>
      <c r="D11" s="9"/>
    </row>
    <row r="12" spans="1:4">
      <c r="A12" s="8">
        <v>11</v>
      </c>
      <c r="B12" s="8">
        <f t="shared" si="0"/>
        <v>15</v>
      </c>
      <c r="C12" s="9">
        <v>15</v>
      </c>
      <c r="D12" s="9"/>
    </row>
    <row r="13" spans="1:4">
      <c r="A13" s="8">
        <v>12</v>
      </c>
      <c r="B13" s="8">
        <f t="shared" si="0"/>
        <v>8</v>
      </c>
      <c r="C13" s="9">
        <v>8</v>
      </c>
      <c r="D13" s="9"/>
    </row>
    <row r="14" spans="1:4">
      <c r="A14" s="8">
        <v>13</v>
      </c>
      <c r="B14" s="8">
        <f t="shared" si="0"/>
        <v>8</v>
      </c>
      <c r="C14" s="9">
        <v>8</v>
      </c>
      <c r="D14" s="9"/>
    </row>
    <row r="15" spans="1:4">
      <c r="A15" s="8">
        <v>14</v>
      </c>
      <c r="B15" s="8">
        <f t="shared" si="0"/>
        <v>8</v>
      </c>
      <c r="C15" s="9">
        <v>8</v>
      </c>
      <c r="D15" s="9"/>
    </row>
    <row r="16" spans="1:4">
      <c r="A16" s="8">
        <v>15</v>
      </c>
      <c r="B16" s="8">
        <f t="shared" si="0"/>
        <v>6</v>
      </c>
      <c r="C16" s="9"/>
      <c r="D16" s="9">
        <v>6</v>
      </c>
    </row>
    <row r="17" spans="1:4">
      <c r="A17" s="8">
        <v>16</v>
      </c>
      <c r="B17" s="8">
        <f t="shared" si="0"/>
        <v>8</v>
      </c>
      <c r="C17" s="9"/>
      <c r="D17" s="9">
        <v>8</v>
      </c>
    </row>
    <row r="18" spans="1:4">
      <c r="A18" s="8">
        <v>17</v>
      </c>
      <c r="B18" s="8">
        <f t="shared" si="0"/>
        <v>8</v>
      </c>
      <c r="C18" s="9"/>
      <c r="D18" s="9">
        <v>8</v>
      </c>
    </row>
    <row r="19" spans="1:4">
      <c r="A19" s="8">
        <v>18</v>
      </c>
      <c r="B19" s="8">
        <f t="shared" si="0"/>
        <v>8</v>
      </c>
      <c r="C19" s="9"/>
      <c r="D19" s="9">
        <v>8</v>
      </c>
    </row>
    <row r="20" spans="1:4">
      <c r="A20" s="8">
        <v>19</v>
      </c>
      <c r="B20" s="8">
        <f t="shared" si="0"/>
        <v>10</v>
      </c>
      <c r="C20" s="9">
        <v>10</v>
      </c>
      <c r="D20" s="9"/>
    </row>
    <row r="21" spans="1:4">
      <c r="A21" s="8">
        <v>20</v>
      </c>
      <c r="B21" s="8">
        <f t="shared" si="0"/>
        <v>8</v>
      </c>
      <c r="C21" s="9">
        <v>8</v>
      </c>
      <c r="D21" s="9"/>
    </row>
    <row r="22" spans="1:4">
      <c r="A22" s="8">
        <v>21</v>
      </c>
      <c r="B22" s="8">
        <f t="shared" si="0"/>
        <v>8</v>
      </c>
      <c r="C22" s="9">
        <v>8</v>
      </c>
      <c r="D22" s="9"/>
    </row>
    <row r="23" spans="1:4">
      <c r="A23" s="8">
        <v>22</v>
      </c>
      <c r="B23" s="8">
        <f t="shared" si="0"/>
        <v>6</v>
      </c>
      <c r="C23" s="9">
        <v>6</v>
      </c>
      <c r="D23" s="9"/>
    </row>
    <row r="24" spans="1:4">
      <c r="A24" s="8">
        <v>23</v>
      </c>
      <c r="B24" s="8">
        <f t="shared" si="0"/>
        <v>6</v>
      </c>
      <c r="C24" s="9">
        <v>6</v>
      </c>
      <c r="D24" s="9"/>
    </row>
    <row r="25" spans="1:4">
      <c r="A25" s="8">
        <v>24</v>
      </c>
      <c r="B25" s="8">
        <f t="shared" si="0"/>
        <v>8</v>
      </c>
      <c r="C25" s="9">
        <v>6</v>
      </c>
      <c r="D25" s="9">
        <v>2</v>
      </c>
    </row>
    <row r="26" spans="1:4">
      <c r="A26" s="8">
        <v>25</v>
      </c>
      <c r="B26" s="8">
        <f t="shared" si="0"/>
        <v>10</v>
      </c>
      <c r="C26" s="9"/>
      <c r="D26" s="9">
        <v>10</v>
      </c>
    </row>
    <row r="27" spans="1:4">
      <c r="A27" s="8">
        <v>26</v>
      </c>
      <c r="B27" s="8">
        <f t="shared" si="0"/>
        <v>6</v>
      </c>
      <c r="C27" s="9">
        <v>4</v>
      </c>
      <c r="D27" s="9">
        <v>2</v>
      </c>
    </row>
    <row r="28" spans="1:4">
      <c r="A28" s="8">
        <v>27</v>
      </c>
      <c r="B28" s="8">
        <f t="shared" si="0"/>
        <v>7</v>
      </c>
      <c r="C28" s="9">
        <v>4</v>
      </c>
      <c r="D28" s="9">
        <v>3</v>
      </c>
    </row>
    <row r="29" spans="1:4">
      <c r="A29" s="8">
        <v>28</v>
      </c>
      <c r="B29" s="8">
        <f t="shared" si="0"/>
        <v>8</v>
      </c>
      <c r="C29" s="9">
        <v>4</v>
      </c>
      <c r="D29" s="9">
        <v>4</v>
      </c>
    </row>
    <row r="30" spans="1:4">
      <c r="A30" s="8">
        <v>29</v>
      </c>
      <c r="B30" s="8">
        <f t="shared" si="0"/>
        <v>6</v>
      </c>
      <c r="C30" s="9"/>
      <c r="D30" s="9">
        <v>6</v>
      </c>
    </row>
    <row r="31" spans="1:4">
      <c r="A31" s="8">
        <v>30</v>
      </c>
      <c r="B31" s="8">
        <f t="shared" si="0"/>
        <v>6</v>
      </c>
      <c r="C31" s="9"/>
      <c r="D31" s="9">
        <v>6</v>
      </c>
    </row>
    <row r="32" spans="1:4">
      <c r="A32" s="8">
        <v>31</v>
      </c>
      <c r="B32" s="8">
        <f t="shared" si="0"/>
        <v>8</v>
      </c>
      <c r="C32" s="9">
        <v>4</v>
      </c>
      <c r="D32" s="9">
        <v>4</v>
      </c>
    </row>
    <row r="33" spans="1:4">
      <c r="A33" s="8">
        <v>32</v>
      </c>
      <c r="B33" s="8">
        <f t="shared" si="0"/>
        <v>6</v>
      </c>
      <c r="C33" s="9">
        <v>6</v>
      </c>
      <c r="D33" s="9"/>
    </row>
    <row r="34" spans="1:4">
      <c r="A34" s="8">
        <v>33</v>
      </c>
      <c r="B34" s="8">
        <f t="shared" si="0"/>
        <v>4</v>
      </c>
      <c r="C34" s="9">
        <v>4</v>
      </c>
      <c r="D34" s="9"/>
    </row>
    <row r="35" spans="1:4">
      <c r="A35" s="8">
        <v>34</v>
      </c>
      <c r="B35" s="8">
        <f t="shared" si="0"/>
        <v>6</v>
      </c>
      <c r="C35" s="9">
        <v>6</v>
      </c>
      <c r="D35" s="9"/>
    </row>
    <row r="36" spans="1:4">
      <c r="A36" s="8">
        <v>35</v>
      </c>
      <c r="B36" s="8">
        <f t="shared" si="0"/>
        <v>4</v>
      </c>
      <c r="C36" s="9"/>
      <c r="D36" s="9">
        <v>4</v>
      </c>
    </row>
    <row r="37" spans="1:4">
      <c r="A37" s="8">
        <v>36</v>
      </c>
      <c r="B37" s="8">
        <f t="shared" si="0"/>
        <v>3</v>
      </c>
      <c r="C37" s="9"/>
      <c r="D37" s="9">
        <v>3</v>
      </c>
    </row>
    <row r="38" spans="1:4">
      <c r="A38" s="8">
        <v>37</v>
      </c>
      <c r="B38" s="8">
        <f t="shared" si="0"/>
        <v>4</v>
      </c>
      <c r="C38" s="9">
        <v>2</v>
      </c>
      <c r="D38" s="9">
        <v>2</v>
      </c>
    </row>
    <row r="39" spans="1:4">
      <c r="A39" s="8">
        <v>38</v>
      </c>
      <c r="B39" s="8">
        <f t="shared" si="0"/>
        <v>8</v>
      </c>
      <c r="C39" s="9">
        <v>6</v>
      </c>
      <c r="D39" s="9"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2" sqref="A2"/>
    </sheetView>
  </sheetViews>
  <sheetFormatPr defaultColWidth="9" defaultRowHeight="14.25" outlineLevelRow="2" outlineLevelCol="4"/>
  <cols>
    <col min="1" max="1" width="24.25" customWidth="1"/>
    <col min="2" max="2" width="17.625" customWidth="1"/>
    <col min="3" max="3" width="18.75" customWidth="1"/>
    <col min="4" max="4" width="14.125" customWidth="1"/>
    <col min="5" max="5" width="26.125" customWidth="1"/>
  </cols>
  <sheetData>
    <row r="1" ht="17.25" spans="1: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</row>
    <row r="2" ht="17.25" spans="1:5">
      <c r="A2" s="2">
        <f>SUM('liste des taches'!H:H)</f>
        <v>281</v>
      </c>
      <c r="B2" s="2">
        <f>SUM('liste des taches'!I:I)</f>
        <v>279</v>
      </c>
      <c r="C2" s="2">
        <f>SUM('liste des taches'!J:J)</f>
        <v>2</v>
      </c>
      <c r="D2" s="3">
        <f>(B2/(B2+C2))</f>
        <v>0.99288256227758</v>
      </c>
      <c r="E2" s="5">
        <f>((B2+C2)-A2)/A2</f>
        <v>0</v>
      </c>
    </row>
    <row r="3" ht="17.25" spans="1:5">
      <c r="A3" s="4"/>
      <c r="B3" s="4"/>
      <c r="C3" s="2">
        <f>C2/60</f>
        <v>0.0333333333333333</v>
      </c>
      <c r="D3" s="4" t="s">
        <v>94</v>
      </c>
      <c r="E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detail_avancement</vt:lpstr>
      <vt:lpstr>avancement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akinya</cp:lastModifiedBy>
  <dcterms:created xsi:type="dcterms:W3CDTF">2026-03-31T11:56:00Z</dcterms:created>
  <dcterms:modified xsi:type="dcterms:W3CDTF">2026-03-31T12:40:46Z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